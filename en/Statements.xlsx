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xr:revisionPtr revIDLastSave="0" documentId="13_ncr:1_{280C9A11-C7B3-41E7-B9B6-5D45F0A0E1DF}" xr6:coauthVersionLast="47" xr6:coauthVersionMax="47" xr10:uidLastSave="{00000000-0000-0000-0000-000000000000}"/>
  <bookViews>
    <workbookView xWindow="-110" yWindow="-110" windowWidth="25420" windowHeight="16300" activeTab="1" xr2:uid="{D5CA26CE-9EEC-4977-BB11-A06D7CD562E3}"/>
  </bookViews>
  <sheets>
    <sheet name="Lookup" sheetId="2" r:id="rId1"/>
    <sheet name="Example Output" sheetId="14" r:id="rId2"/>
    <sheet name="Statements" sheetId="12" r:id="rId3"/>
    <sheet name="Parameters" sheetId="6" r:id="rId4"/>
  </sheets>
  <definedNames>
    <definedName name="ExternalData_1" localSheetId="2" hidden="1">Statements!$A$1:$K$2</definedName>
    <definedName name="Справочник">Lookup!$A$6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D5526-7EEE-485D-9A40-ED7EE82D4F4A}" keepAlive="1" name="Запрос — fOneSheet" description="Соединение с запросом &quot;fOneSheet&quot; в книге." type="5" refreshedVersion="0" background="1">
    <dbPr connection="Provider=Microsoft.Mashup.OleDb.1;Data Source=$Workbook$;Location=fOneSheet;Extended Properties=&quot;&quot;" command="SELECT * FROM [fOneSheet]"/>
  </connection>
  <connection id="2" xr16:uid="{9FF889CA-7427-4461-8874-9FF18C5B3913}" keepAlive="1" name="Запрос — fParam" description="Соединение с запросом &quot;fParam&quot; в книге." type="5" refreshedVersion="0" background="1">
    <dbPr connection="Provider=Microsoft.Mashup.OleDb.1;Data Source=$Workbook$;Location=fParam;Extended Properties=&quot;&quot;" command="SELECT * FROM [fParam]"/>
  </connection>
  <connection id="3" xr16:uid="{35760246-B6FF-49A6-8E1D-752C79B88D63}" keepAlive="1" name="Запрос — GetBranch" description="Соединение с запросом &quot;GetBranch&quot; в книге." type="5" refreshedVersion="0" background="1">
    <dbPr connection="Provider=Microsoft.Mashup.OleDb.1;Data Source=$Workbook$;Location=GetBranch;Extended Properties=&quot;&quot;" command="SELECT * FROM [GetBranch]"/>
  </connection>
  <connection id="4" xr16:uid="{22E65F24-6F61-4CEE-87A9-241A7CC8D84A}" keepAlive="1" name="Запрос — GetCategory_Counterparty" description="Соединение с запросом &quot;GetCategory_Counterparty&quot; в книге." type="5" refreshedVersion="0" background="1">
    <dbPr connection="Provider=Microsoft.Mashup.OleDb.1;Data Source=$Workbook$;Location=GetCategory_Counterparty;Extended Properties=&quot;&quot;" command="SELECT * FROM [GetCategory_Counterparty]"/>
  </connection>
  <connection id="5" xr16:uid="{2690A04E-9D8A-40C4-B731-A625C8F1A007}" keepAlive="1" name="Запрос — GetCategory_Description" description="Соединение с запросом &quot;GetCategory_Description&quot; в книге." type="5" refreshedVersion="0" background="1">
    <dbPr connection="Provider=Microsoft.Mashup.OleDb.1;Data Source=$Workbook$;Location=GetCategory_Description;Extended Properties=&quot;&quot;" command="SELECT * FROM [GetCategory_Description]"/>
  </connection>
  <connection id="6" xr16:uid="{1F6535FE-05A8-470D-A037-BC8A3FF0C962}" keepAlive="1" name="Запрос — GetNote" description="Соединение с запросом &quot;GetNote&quot; в книге." type="5" refreshedVersion="0" background="1">
    <dbPr connection="Provider=Microsoft.Mashup.OleDb.1;Data Source=$Workbook$;Location=GetNote;Extended Properties=&quot;&quot;" command="SELECT * FROM [GetNote]"/>
  </connection>
  <connection id="7" xr16:uid="{AAAA856D-E715-4E98-9A64-52C426F4F64C}" keepAlive="1" name="Запрос — GetService" description="Соединение с запросом &quot;GetService&quot; в книге." type="5" refreshedVersion="0" background="1">
    <dbPr connection="Provider=Microsoft.Mashup.OleDb.1;Data Source=$Workbook$;Location=GetService;Extended Properties=&quot;&quot;" command="SELECT * FROM [GetService]"/>
  </connection>
  <connection id="8" xr16:uid="{79D91C28-F3FA-4181-AC2B-6178DE4D8B6F}" keepAlive="1" name="Запрос — pFile" description="Соединение с запросом &quot;pFile&quot; в книге." type="5" refreshedVersion="0" background="1">
    <dbPr connection="Provider=Microsoft.Mashup.OleDb.1;Data Source=$Workbook$;Location=pFile;Extended Properties=&quot;&quot;" command="SELECT * FROM [pFile]"/>
  </connection>
  <connection id="9" xr16:uid="{8C647B89-CB62-4859-A757-46C6C2BB4127}" keepAlive="1" name="Запрос — pSheet" description="Соединение с запросом &quot;pSheet&quot; в книге." type="5" refreshedVersion="0" background="1">
    <dbPr connection="Provider=Microsoft.Mashup.OleDb.1;Data Source=$Workbook$;Location=pSheet;Extended Properties=&quot;&quot;" command="SELECT * FROM [pSheet]"/>
  </connection>
  <connection id="10" xr16:uid="{604C9AB0-9216-48F7-9AB6-A1C396E3FE10}" keepAlive="1" name="Запрос — qOneSheet" description="Соединение с запросом &quot;qOneSheet&quot; в книге." type="5" refreshedVersion="0" background="1">
    <dbPr connection="Provider=Microsoft.Mashup.OleDb.1;Data Source=$Workbook$;Location=qOneSheet;Extended Properties=&quot;&quot;" command="SELECT * FROM [qOneSheet]"/>
  </connection>
  <connection id="11" xr16:uid="{796523D0-33AB-4762-84DF-9AE543EF7A1F}" keepAlive="1" name="Запрос — Выписки" description="Соединение с запросом &quot;Выписки&quot; в книге." type="5" refreshedVersion="8" background="1" saveData="1">
    <dbPr connection="Provider=Microsoft.Mashup.OleDb.1;Data Source=$Workbook$;Location=Выписки;Extended Properties=&quot;&quot;" command="SELECT * FROM [Выписки]"/>
  </connection>
  <connection id="12" xr16:uid="{84BC61A4-C309-4CFF-9B34-7A5A48C260F8}" keepAlive="1" name="Запрос — Справочник" description="Соединение с запросом &quot;Справочник&quot; в книге." type="5" refreshedVersion="0" background="1">
    <dbPr connection="Provider=Microsoft.Mashup.OleDb.1;Data Source=$Workbook$;Location=Справочник;Extended Properties=&quot;&quot;" command="SELECT * FROM [Справочник]"/>
  </connection>
</connections>
</file>

<file path=xl/sharedStrings.xml><?xml version="1.0" encoding="utf-8"?>
<sst xmlns="http://schemas.openxmlformats.org/spreadsheetml/2006/main" count="141" uniqueCount="95">
  <si>
    <t>Value</t>
  </si>
  <si>
    <t>Дата проводки</t>
  </si>
  <si>
    <t>Дата</t>
  </si>
  <si>
    <t>Счет</t>
  </si>
  <si>
    <t>Контрагент</t>
  </si>
  <si>
    <t>Сумма по кредиту</t>
  </si>
  <si>
    <t>Кредит</t>
  </si>
  <si>
    <t>Сумма</t>
  </si>
  <si>
    <t>№ п/п</t>
  </si>
  <si>
    <t>№ документа</t>
  </si>
  <si>
    <t>№ док.</t>
  </si>
  <si>
    <t>Номер</t>
  </si>
  <si>
    <t>Назначение</t>
  </si>
  <si>
    <t>Назначение платежа</t>
  </si>
  <si>
    <t>Кредит, RUR</t>
  </si>
  <si>
    <t>Path</t>
  </si>
  <si>
    <t>Param</t>
  </si>
  <si>
    <t>№                        документа</t>
  </si>
  <si>
    <t>Date</t>
  </si>
  <si>
    <t>Bank</t>
  </si>
  <si>
    <t>Counterparty</t>
  </si>
  <si>
    <t>Branch</t>
  </si>
  <si>
    <t>Category</t>
  </si>
  <si>
    <t>Service</t>
  </si>
  <si>
    <t>Note</t>
  </si>
  <si>
    <t>Doc #</t>
  </si>
  <si>
    <t>Amount</t>
  </si>
  <si>
    <t>Payment Description</t>
  </si>
  <si>
    <t>Reference</t>
  </si>
  <si>
    <t>Bank A</t>
  </si>
  <si>
    <t>ООО "УК Комфорт"</t>
  </si>
  <si>
    <t>Branch_A</t>
  </si>
  <si>
    <t>Management Company</t>
  </si>
  <si>
    <t>Core Services</t>
  </si>
  <si>
    <t>45230.50</t>
  </si>
  <si>
    <t>Оплата за водоснабжение и водоотведение по дог. 2-0200-0015 за декабрь 2023</t>
  </si>
  <si>
    <t>2-0200-0015</t>
  </si>
  <si>
    <t>ИП Сидоров А.В.</t>
  </si>
  <si>
    <t>Branch_B</t>
  </si>
  <si>
    <t>Legal Entity</t>
  </si>
  <si>
    <t>12890.00</t>
  </si>
  <si>
    <t>Оплата за ХВС по дог. 2-0300-0042 за декабрь 2023</t>
  </si>
  <si>
    <t>2-0300-0042</t>
  </si>
  <si>
    <t>Bank B</t>
  </si>
  <si>
    <t>ТСЖ "Рассвет"</t>
  </si>
  <si>
    <t>98400.00</t>
  </si>
  <si>
    <t>Водоснабжение и водоотведение по дог. 2-0200-0008 за дек 2023</t>
  </si>
  <si>
    <t>2-0200-0008</t>
  </si>
  <si>
    <t>Администрация г. Примерск</t>
  </si>
  <si>
    <t>Branch_C</t>
  </si>
  <si>
    <t>Municipal Budget</t>
  </si>
  <si>
    <t>Subsidy</t>
  </si>
  <si>
    <t>250000.00</t>
  </si>
  <si>
    <t>Субс. на возмещение предприятиям ЖКХ по дог. 14/2024</t>
  </si>
  <si>
    <t>Bank C</t>
  </si>
  <si>
    <t>ФГБУ "Водоканал"</t>
  </si>
  <si>
    <t>Branch_D</t>
  </si>
  <si>
    <t>Federal Budget</t>
  </si>
  <si>
    <t>Environmental Fee</t>
  </si>
  <si>
    <t>15670.00</t>
  </si>
  <si>
    <t>НГВ за 4 квартал 2023 по дог. 2-0500-0003</t>
  </si>
  <si>
    <t>2-0500-0003</t>
  </si>
  <si>
    <t>Multiple Categories</t>
  </si>
  <si>
    <t>Card Terminal</t>
  </si>
  <si>
    <t>7845.30</t>
  </si>
  <si>
    <t>Эквайринг за 14.01.2024 реестр №1842</t>
  </si>
  <si>
    <t>Иванова М.К.</t>
  </si>
  <si>
    <t>Individual</t>
  </si>
  <si>
    <t>Billing Centre</t>
  </si>
  <si>
    <t>3250.80</t>
  </si>
  <si>
    <t>ЛС 0300-44821 оплата за водоснабжение за дек 2023 ИВЦ ЖКХ</t>
  </si>
  <si>
    <t>ООО "АкваСтрой"</t>
  </si>
  <si>
    <t>Other Activity</t>
  </si>
  <si>
    <t>87600.00</t>
  </si>
  <si>
    <t>Тех. присоединение к центральной системе водоснабжения по дог. ТП-24/001</t>
  </si>
  <si>
    <t>Bank D</t>
  </si>
  <si>
    <t>МБОУ Школа №5</t>
  </si>
  <si>
    <t>18920.00</t>
  </si>
  <si>
    <t>Оплата за водоснабжение по дог. 2-0400-0091 за январь 2024</t>
  </si>
  <si>
    <t>2-0400-0091</t>
  </si>
  <si>
    <t>Court Enforcement</t>
  </si>
  <si>
    <t>5430.00</t>
  </si>
  <si>
    <t>Взыскание по ИД судебный приказ №2-1547/2023 ГУФССП</t>
  </si>
  <si>
    <t>ООО "Водоканал-Сервис"</t>
  </si>
  <si>
    <t>142300.00</t>
  </si>
  <si>
    <t>Транспортировка сточных вод по дог. 2-0500-0017 за январь 2024</t>
  </si>
  <si>
    <t>2-0500-0017</t>
  </si>
  <si>
    <t>ЖСК "Надежда"</t>
  </si>
  <si>
    <t>Regional Billing Centre</t>
  </si>
  <si>
    <t>67850.00</t>
  </si>
  <si>
    <t>Водоснабжение ОДН за январь 2024 ЕРКЦ реестр 2-0200-0022</t>
  </si>
  <si>
    <t>2-0200-0022</t>
  </si>
  <si>
    <t>Original</t>
  </si>
  <si>
    <t>Standardized</t>
  </si>
  <si>
    <t>Static example of the query output. To generate real data, place bank statement files in the folder and click "Refresh All" on the Statements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</si>
</sst>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3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282A955-633C-4427-AFAF-40A9063F1D60}" autoFormatId="16" applyNumberFormats="0" applyBorderFormats="0" applyFontFormats="0" applyPatternFormats="0" applyAlignmentFormats="0" applyWidthHeightFormats="0">
  <queryTableRefresh nextId="13">
    <queryTableFields count="11">
      <queryTableField id="1" name="Дата" tableColumnId="1"/>
      <queryTableField id="2" name="Банк" tableColumnId="2"/>
      <queryTableField id="3" name="Контрагент" tableColumnId="3"/>
      <queryTableField id="4" name="Филиал" tableColumnId="4"/>
      <queryTableField id="5" name="Категория" tableColumnId="5"/>
      <queryTableField id="6" name="Услуга" tableColumnId="6"/>
      <queryTableField id="7" name="Примечание" tableColumnId="7"/>
      <queryTableField id="8" name="№ п/п" tableColumnId="8"/>
      <queryTableField id="9" name="Сумма" tableColumnId="9"/>
      <queryTableField id="10" name="Назначение платежа" tableColumnId="10"/>
      <queryTableField id="12" name="Пользовательский" tableColumnId="11"/>
    </queryTableFields>
    <queryTableDeletedFields count="1">
      <deletedField name="Пользовательский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6E136-EF2A-4ED5-ACF6-72A5205236A8}" name="Таблица2" displayName="Таблица2" ref="A1:B11" totalsRowShown="0">
  <autoFilter ref="A1:B11" xr:uid="{83C6E136-EF2A-4ED5-ACF6-72A5205236A8}"/>
  <tableColumns count="2">
    <tableColumn id="1" xr3:uid="{9303D6F9-29EB-423C-AC8A-1D6E7BB3CD42}" name="Original"/>
    <tableColumn id="2" xr3:uid="{FE6BD16D-4289-4E58-BE05-0BC2487CC4EC}" name="Standardiz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E42DE4-229D-4E11-BA47-59CBB53C2B57}" name="Таблица4" displayName="Таблица4" ref="A2:K14" totalsRowShown="0" headerRowDxfId="34" dataDxfId="33">
  <autoFilter ref="A2:K14" xr:uid="{1AE42DE4-229D-4E11-BA47-59CBB53C2B57}"/>
  <tableColumns count="11">
    <tableColumn id="1" xr3:uid="{12BF5880-6AAA-453B-A463-E17CB1D5013B}" name="Date" dataDxfId="32"/>
    <tableColumn id="2" xr3:uid="{40B661C2-FC79-4C02-B2D2-B8EEAE3C3F67}" name="Bank" dataDxfId="31"/>
    <tableColumn id="3" xr3:uid="{0B74DE5E-3FB0-4BD0-B499-306BC83AC433}" name="Counterparty" dataDxfId="30"/>
    <tableColumn id="4" xr3:uid="{FD054A1D-42D9-48BD-A6F9-163ACEF406DD}" name="Branch" dataDxfId="29"/>
    <tableColumn id="5" xr3:uid="{6E7C3AB3-1EE6-4330-99BC-5D3D2DA844AC}" name="Category" dataDxfId="28"/>
    <tableColumn id="6" xr3:uid="{B11D4573-05AE-4C64-9751-A003AC0D8105}" name="Service" dataDxfId="27"/>
    <tableColumn id="7" xr3:uid="{84188074-C9E9-4F65-9DAE-B565B60C3D03}" name="Note" dataDxfId="26"/>
    <tableColumn id="8" xr3:uid="{E83653E4-E57D-4818-BE75-3E80941386EA}" name="Doc #" dataDxfId="25"/>
    <tableColumn id="9" xr3:uid="{B207E47F-35C4-4B2B-9DAB-F949F370AC13}" name="Amount" dataDxfId="24"/>
    <tableColumn id="10" xr3:uid="{4744258A-69E1-4629-9332-E461EF519297}" name="Payment Description" dataDxfId="23"/>
    <tableColumn id="11" xr3:uid="{4A51B272-EB2A-41A5-B083-2F5B69D7BF69}" name="Reference" data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C960C-0EC3-41B2-83D4-570BC0BE5F37}" name="Выписки" displayName="Выписки" ref="A1:K2" tableType="queryTable" insertRow="1" headerRowDxfId="21" dataDxfId="20">
  <autoFilter ref="A1:K2" xr:uid="{50BC960C-0EC3-41B2-83D4-570BC0BE5F37}"/>
  <tableColumns count="11">
    <tableColumn id="1" xr3:uid="{0752AAF5-9C39-4DF1-B296-FC90ECB5A571}" uniqueName="1" name="Date" totalsRowLabel="Итог" queryTableFieldId="1" dataDxfId="19" totalsRowDxfId="18"/>
    <tableColumn id="2" xr3:uid="{4CA073F9-2876-4796-9879-FBD064153788}" uniqueName="2" name="Bank" queryTableFieldId="2" dataDxfId="17" totalsRowDxfId="16"/>
    <tableColumn id="3" xr3:uid="{BE72230D-6D25-414A-B9C8-CB0122F57F66}" uniqueName="3" name="Counterparty" queryTableFieldId="3" dataDxfId="15" totalsRowDxfId="14"/>
    <tableColumn id="4" xr3:uid="{A3DABFBC-0E28-4657-A07D-CE6AC2D14B94}" uniqueName="4" name="Branch" queryTableFieldId="4" dataDxfId="13" totalsRowDxfId="12"/>
    <tableColumn id="5" xr3:uid="{8220CBDC-759C-45FB-A549-D9050B64C34B}" uniqueName="5" name="Category" queryTableFieldId="5" dataDxfId="11" totalsRowDxfId="10"/>
    <tableColumn id="6" xr3:uid="{DDCB4F95-D113-407F-969D-0DE193E7D8AF}" uniqueName="6" name="Service" queryTableFieldId="6" dataDxfId="9" totalsRowDxfId="8"/>
    <tableColumn id="7" xr3:uid="{B2ACC87D-F1CB-420A-B5C6-56ED3E989518}" uniqueName="7" name="Note" queryTableFieldId="7" dataDxfId="7" totalsRowDxfId="6"/>
    <tableColumn id="8" xr3:uid="{40CA3AE0-1F3D-4F32-B793-BFA5EA189730}" uniqueName="8" name="Doc #" queryTableFieldId="8" dataDxfId="5" totalsRowDxfId="4"/>
    <tableColumn id="9" xr3:uid="{D1008CEA-8967-4FC5-B1EC-6EBC8CB51918}" uniqueName="9" name="Amount" totalsRowFunction="sum" queryTableFieldId="9" dataDxfId="3" totalsRowDxfId="2"/>
    <tableColumn id="10" xr3:uid="{35AB4DCC-FE47-4134-B445-4D4496B905FF}" uniqueName="10" name="Payment Description" totalsRowFunction="count" queryTableFieldId="10" dataDxfId="1" totalsRowDxfId="0"/>
    <tableColumn id="11" xr3:uid="{59B622E3-CD33-4944-9A95-720EDDE12D7C}" uniqueName="11" name="Reference" queryTableFieldId="12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AC3E6-4BA6-434A-99F1-D7CC54B2BEC6}" name="tParam" displayName="tParam" ref="A1:B2" totalsRowShown="0">
  <autoFilter ref="A1:B2" xr:uid="{D8FAC3E6-4BA6-434A-99F1-D7CC54B2BEC6}"/>
  <tableColumns count="2">
    <tableColumn id="1" xr3:uid="{95FE9ACB-7FA3-4FE4-BBCA-843EEAEB8E72}" name="Param"/>
    <tableColumn id="2" xr3:uid="{B5F1B212-1617-4874-BDE0-630697443984}" name="Value">
      <calculatedColumnFormula>LEFT(CELL("filename",A1),FIND("[",CELL("filename",A1))-1)&amp;"Name Folder\"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A813-56FC-433E-94CE-E6F7ABC7B1F5}">
  <sheetPr codeName="Лист1"/>
  <dimension ref="A1:B11"/>
  <sheetViews>
    <sheetView workbookViewId="0">
      <selection activeCell="B1" sqref="B1"/>
    </sheetView>
  </sheetViews>
  <sheetFormatPr defaultRowHeight="14.5" x14ac:dyDescent="0.35"/>
  <cols>
    <col min="1" max="1" width="17.81640625" bestFit="1" customWidth="1"/>
    <col min="2" max="2" width="20.26953125" bestFit="1" customWidth="1"/>
  </cols>
  <sheetData>
    <row r="1" spans="1:2" x14ac:dyDescent="0.35">
      <c r="A1" t="s">
        <v>92</v>
      </c>
      <c r="B1" t="s">
        <v>93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7</v>
      </c>
    </row>
    <row r="5" spans="1:2" x14ac:dyDescent="0.35">
      <c r="A5" t="s">
        <v>6</v>
      </c>
      <c r="B5" t="s">
        <v>7</v>
      </c>
    </row>
    <row r="6" spans="1:2" x14ac:dyDescent="0.35">
      <c r="A6" t="s">
        <v>9</v>
      </c>
      <c r="B6" t="s">
        <v>8</v>
      </c>
    </row>
    <row r="7" spans="1:2" x14ac:dyDescent="0.35">
      <c r="A7" t="s">
        <v>10</v>
      </c>
      <c r="B7" t="s">
        <v>8</v>
      </c>
    </row>
    <row r="8" spans="1:2" x14ac:dyDescent="0.35">
      <c r="A8" t="s">
        <v>11</v>
      </c>
      <c r="B8" t="s">
        <v>8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7</v>
      </c>
    </row>
    <row r="11" spans="1:2" x14ac:dyDescent="0.35">
      <c r="A11" t="s">
        <v>17</v>
      </c>
      <c r="B1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F294-3DF5-49B9-9F51-730A69F64C53}">
  <dimension ref="A1:K14"/>
  <sheetViews>
    <sheetView tabSelected="1" workbookViewId="0">
      <selection activeCell="L5" sqref="L5"/>
    </sheetView>
  </sheetViews>
  <sheetFormatPr defaultRowHeight="14.5" x14ac:dyDescent="0.35"/>
  <cols>
    <col min="1" max="4" width="11.81640625" customWidth="1"/>
    <col min="5" max="5" width="18.26953125" customWidth="1"/>
    <col min="6" max="6" width="14.6328125" customWidth="1"/>
    <col min="7" max="7" width="15.36328125" customWidth="1"/>
    <col min="8" max="9" width="11.81640625" customWidth="1"/>
    <col min="10" max="10" width="24.1796875" customWidth="1"/>
    <col min="11" max="11" width="13.7265625" bestFit="1" customWidth="1"/>
    <col min="12" max="12" width="11.81640625" customWidth="1"/>
  </cols>
  <sheetData>
    <row r="1" spans="1:11" x14ac:dyDescent="0.35">
      <c r="A1" s="6" t="s">
        <v>94</v>
      </c>
    </row>
    <row r="2" spans="1:11" x14ac:dyDescent="0.3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</row>
    <row r="3" spans="1:11" ht="43.5" x14ac:dyDescent="0.35">
      <c r="A3" s="5">
        <v>45294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/>
      <c r="H3" s="4">
        <v>101</v>
      </c>
      <c r="I3" s="4" t="s">
        <v>34</v>
      </c>
      <c r="J3" s="1" t="s">
        <v>35</v>
      </c>
      <c r="K3" s="4" t="s">
        <v>36</v>
      </c>
    </row>
    <row r="4" spans="1:11" ht="29" x14ac:dyDescent="0.35">
      <c r="A4" s="5">
        <v>45296</v>
      </c>
      <c r="B4" s="4" t="s">
        <v>29</v>
      </c>
      <c r="C4" s="4" t="s">
        <v>37</v>
      </c>
      <c r="D4" s="4" t="s">
        <v>38</v>
      </c>
      <c r="E4" s="4" t="s">
        <v>39</v>
      </c>
      <c r="F4" s="4" t="s">
        <v>33</v>
      </c>
      <c r="G4" s="4"/>
      <c r="H4" s="4">
        <v>102</v>
      </c>
      <c r="I4" s="4" t="s">
        <v>40</v>
      </c>
      <c r="J4" s="1" t="s">
        <v>41</v>
      </c>
      <c r="K4" s="4" t="s">
        <v>42</v>
      </c>
    </row>
    <row r="5" spans="1:11" ht="43.5" x14ac:dyDescent="0.35">
      <c r="A5" s="5">
        <v>45299</v>
      </c>
      <c r="B5" s="4" t="s">
        <v>43</v>
      </c>
      <c r="C5" s="4" t="s">
        <v>44</v>
      </c>
      <c r="D5" s="4" t="s">
        <v>31</v>
      </c>
      <c r="E5" s="4" t="s">
        <v>32</v>
      </c>
      <c r="F5" s="4" t="s">
        <v>33</v>
      </c>
      <c r="G5" s="4"/>
      <c r="H5" s="4">
        <v>201</v>
      </c>
      <c r="I5" s="4" t="s">
        <v>45</v>
      </c>
      <c r="J5" s="1" t="s">
        <v>46</v>
      </c>
      <c r="K5" s="4" t="s">
        <v>47</v>
      </c>
    </row>
    <row r="6" spans="1:11" ht="43.5" x14ac:dyDescent="0.35">
      <c r="A6" s="5">
        <v>45301</v>
      </c>
      <c r="B6" s="4" t="s">
        <v>29</v>
      </c>
      <c r="C6" s="4" t="s">
        <v>48</v>
      </c>
      <c r="D6" s="4" t="s">
        <v>49</v>
      </c>
      <c r="E6" s="4" t="s">
        <v>50</v>
      </c>
      <c r="F6" s="4" t="s">
        <v>51</v>
      </c>
      <c r="G6" s="4"/>
      <c r="H6" s="4">
        <v>103</v>
      </c>
      <c r="I6" s="4" t="s">
        <v>52</v>
      </c>
      <c r="J6" s="1" t="s">
        <v>53</v>
      </c>
      <c r="K6" s="4"/>
    </row>
    <row r="7" spans="1:11" ht="29" x14ac:dyDescent="0.35">
      <c r="A7" s="5">
        <v>45303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/>
      <c r="H7" s="4">
        <v>301</v>
      </c>
      <c r="I7" s="4" t="s">
        <v>59</v>
      </c>
      <c r="J7" s="1" t="s">
        <v>60</v>
      </c>
      <c r="K7" s="4" t="s">
        <v>61</v>
      </c>
    </row>
    <row r="8" spans="1:11" ht="29" x14ac:dyDescent="0.35">
      <c r="A8" s="5">
        <v>45306</v>
      </c>
      <c r="B8" s="4" t="s">
        <v>29</v>
      </c>
      <c r="C8" s="4"/>
      <c r="D8" s="4" t="s">
        <v>31</v>
      </c>
      <c r="E8" s="4" t="s">
        <v>62</v>
      </c>
      <c r="F8" s="4" t="s">
        <v>62</v>
      </c>
      <c r="G8" s="4" t="s">
        <v>63</v>
      </c>
      <c r="H8" s="4">
        <v>104</v>
      </c>
      <c r="I8" s="4" t="s">
        <v>64</v>
      </c>
      <c r="J8" s="1" t="s">
        <v>65</v>
      </c>
      <c r="K8" s="4"/>
    </row>
    <row r="9" spans="1:11" ht="43.5" x14ac:dyDescent="0.35">
      <c r="A9" s="5">
        <v>45308</v>
      </c>
      <c r="B9" s="4" t="s">
        <v>43</v>
      </c>
      <c r="C9" s="4" t="s">
        <v>66</v>
      </c>
      <c r="D9" s="4" t="s">
        <v>38</v>
      </c>
      <c r="E9" s="4" t="s">
        <v>67</v>
      </c>
      <c r="F9" s="4" t="s">
        <v>33</v>
      </c>
      <c r="G9" s="4" t="s">
        <v>68</v>
      </c>
      <c r="H9" s="4">
        <v>202</v>
      </c>
      <c r="I9" s="4" t="s">
        <v>69</v>
      </c>
      <c r="J9" s="1" t="s">
        <v>70</v>
      </c>
      <c r="K9" s="4"/>
    </row>
    <row r="10" spans="1:11" ht="58" x14ac:dyDescent="0.35">
      <c r="A10" s="5">
        <v>45310</v>
      </c>
      <c r="B10" s="4" t="s">
        <v>29</v>
      </c>
      <c r="C10" s="4" t="s">
        <v>71</v>
      </c>
      <c r="D10" s="4" t="s">
        <v>31</v>
      </c>
      <c r="E10" s="4" t="s">
        <v>39</v>
      </c>
      <c r="F10" s="4" t="s">
        <v>72</v>
      </c>
      <c r="G10" s="4"/>
      <c r="H10" s="4">
        <v>105</v>
      </c>
      <c r="I10" s="4" t="s">
        <v>73</v>
      </c>
      <c r="J10" s="1" t="s">
        <v>74</v>
      </c>
      <c r="K10" s="4"/>
    </row>
    <row r="11" spans="1:11" ht="43.5" x14ac:dyDescent="0.35">
      <c r="A11" s="5">
        <v>45313</v>
      </c>
      <c r="B11" s="4" t="s">
        <v>75</v>
      </c>
      <c r="C11" s="4" t="s">
        <v>76</v>
      </c>
      <c r="D11" s="4" t="s">
        <v>49</v>
      </c>
      <c r="E11" s="4" t="s">
        <v>50</v>
      </c>
      <c r="F11" s="4" t="s">
        <v>33</v>
      </c>
      <c r="G11" s="4"/>
      <c r="H11" s="4">
        <v>401</v>
      </c>
      <c r="I11" s="4" t="s">
        <v>77</v>
      </c>
      <c r="J11" s="1" t="s">
        <v>78</v>
      </c>
      <c r="K11" s="4" t="s">
        <v>79</v>
      </c>
    </row>
    <row r="12" spans="1:11" ht="43.5" x14ac:dyDescent="0.35">
      <c r="A12" s="5">
        <v>45316</v>
      </c>
      <c r="B12" s="4" t="s">
        <v>29</v>
      </c>
      <c r="C12" s="4"/>
      <c r="D12" s="4" t="s">
        <v>38</v>
      </c>
      <c r="E12" s="4" t="s">
        <v>67</v>
      </c>
      <c r="F12" s="4" t="s">
        <v>33</v>
      </c>
      <c r="G12" s="4" t="s">
        <v>80</v>
      </c>
      <c r="H12" s="4">
        <v>106</v>
      </c>
      <c r="I12" s="4" t="s">
        <v>81</v>
      </c>
      <c r="J12" s="1" t="s">
        <v>82</v>
      </c>
      <c r="K12" s="4"/>
    </row>
    <row r="13" spans="1:11" ht="43.5" x14ac:dyDescent="0.35">
      <c r="A13" s="5">
        <v>45319</v>
      </c>
      <c r="B13" s="4" t="s">
        <v>43</v>
      </c>
      <c r="C13" s="4" t="s">
        <v>83</v>
      </c>
      <c r="D13" s="4" t="s">
        <v>56</v>
      </c>
      <c r="E13" s="4" t="s">
        <v>39</v>
      </c>
      <c r="F13" s="4" t="s">
        <v>33</v>
      </c>
      <c r="G13" s="4"/>
      <c r="H13" s="4">
        <v>203</v>
      </c>
      <c r="I13" s="4" t="s">
        <v>84</v>
      </c>
      <c r="J13" s="1" t="s">
        <v>85</v>
      </c>
      <c r="K13" s="4" t="s">
        <v>86</v>
      </c>
    </row>
    <row r="14" spans="1:11" ht="43.5" x14ac:dyDescent="0.35">
      <c r="A14" s="5">
        <v>45321</v>
      </c>
      <c r="B14" s="4" t="s">
        <v>29</v>
      </c>
      <c r="C14" s="4" t="s">
        <v>87</v>
      </c>
      <c r="D14" s="4" t="s">
        <v>31</v>
      </c>
      <c r="E14" s="4" t="s">
        <v>32</v>
      </c>
      <c r="F14" s="4" t="s">
        <v>33</v>
      </c>
      <c r="G14" s="4" t="s">
        <v>88</v>
      </c>
      <c r="H14" s="4">
        <v>107</v>
      </c>
      <c r="I14" s="4" t="s">
        <v>89</v>
      </c>
      <c r="J14" s="1" t="s">
        <v>90</v>
      </c>
      <c r="K14" s="4" t="s">
        <v>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72A5-BB43-46D2-BF86-12DE50CC9703}">
  <dimension ref="A1:K2"/>
  <sheetViews>
    <sheetView workbookViewId="0">
      <selection sqref="A1:K2"/>
    </sheetView>
  </sheetViews>
  <sheetFormatPr defaultRowHeight="14.5" x14ac:dyDescent="0.35"/>
  <cols>
    <col min="1" max="1" width="10.1796875" bestFit="1" customWidth="1"/>
    <col min="2" max="2" width="13.7265625" bestFit="1" customWidth="1"/>
    <col min="3" max="3" width="24.1796875" customWidth="1"/>
    <col min="4" max="4" width="18.453125" bestFit="1" customWidth="1"/>
    <col min="5" max="5" width="22" bestFit="1" customWidth="1"/>
    <col min="6" max="6" width="16.7265625" bestFit="1" customWidth="1"/>
    <col min="7" max="7" width="17.26953125" bestFit="1" customWidth="1"/>
    <col min="8" max="8" width="11.453125" bestFit="1" customWidth="1"/>
    <col min="9" max="9" width="12.453125" bestFit="1" customWidth="1"/>
    <col min="10" max="10" width="30.453125" customWidth="1"/>
    <col min="11" max="11" width="21.54296875" bestFit="1" customWidth="1"/>
  </cols>
  <sheetData>
    <row r="1" spans="1:11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t="s">
        <v>28</v>
      </c>
    </row>
    <row r="2" spans="1:11" x14ac:dyDescent="0.35">
      <c r="A2" s="2"/>
      <c r="B2" s="1"/>
      <c r="C2" s="1"/>
      <c r="D2" s="1"/>
      <c r="E2" s="1"/>
      <c r="F2" s="1"/>
      <c r="G2" s="1"/>
      <c r="H2" s="1"/>
      <c r="I2" s="3"/>
      <c r="J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46EC-18E0-4711-9296-56063014C9F7}">
  <sheetPr codeName="Лист3"/>
  <dimension ref="A1:B2"/>
  <sheetViews>
    <sheetView workbookViewId="0">
      <selection activeCell="J8" sqref="J8"/>
    </sheetView>
  </sheetViews>
  <sheetFormatPr defaultRowHeight="14.5" x14ac:dyDescent="0.35"/>
  <sheetData>
    <row r="1" spans="1:2" x14ac:dyDescent="0.35">
      <c r="A1" t="s">
        <v>16</v>
      </c>
      <c r="B1" t="s">
        <v>0</v>
      </c>
    </row>
    <row r="2" spans="1:2" ht="15.75" customHeight="1" x14ac:dyDescent="0.35">
      <c r="A2" t="s">
        <v>15</v>
      </c>
      <c r="B2" t="str">
        <f ca="1">LEFT(CELL("filename",A1),FIND("[",CELL("filename",A1))-1)&amp;"Name Folder\"</f>
        <v>C:\Examples\Name Folder\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5D962-E6BF-4F84-968C-CBE037C62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Lookup</vt:lpstr>
      <vt:lpstr>Example Output</vt:lpstr>
      <vt:lpstr>Statements</vt:lpstr>
      <vt:lpstr>Parameters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Кравченко</dc:creator>
  <cp:lastModifiedBy>Валерий Кравченко</cp:lastModifiedBy>
  <cp:lastPrinted>2024-09-19T11:17:54Z</cp:lastPrinted>
  <dcterms:created xsi:type="dcterms:W3CDTF">2023-10-30T07:09:15Z</dcterms:created>
  <dcterms:modified xsi:type="dcterms:W3CDTF">2026-04-06T17:56:31Z</dcterms:modified>
</cp:coreProperties>
</file>